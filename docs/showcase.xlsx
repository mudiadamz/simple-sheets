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+0.0%;-0.0%;0.0%"/>
    <numFmt numFmtId="167" formatCode="yyyy-mm-dd"/>
    <numFmt numFmtId="168" formatCode="dd mmm yyyy"/>
    <numFmt numFmtId="169" formatCode="&quot;$&quot;#,##0.00"/>
    <numFmt numFmtId="170" formatCode="dd mmm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20"/>
    </font>
    <font>
      <name val="Segoe UI"/>
      <color rgb="009CA3AF"/>
      <sz val="10"/>
    </font>
    <font>
      <name val="Segoe UI"/>
      <b val="1"/>
      <color rgb="00FFFFFF"/>
      <sz val="9"/>
    </font>
    <font>
      <name val="Segoe UI"/>
      <b val="1"/>
      <color rgb="000D9488"/>
      <sz val="22"/>
    </font>
    <font>
      <name val="Segoe UI"/>
      <color rgb="006B7280"/>
      <sz val="9"/>
    </font>
    <font>
      <name val="Segoe UI"/>
      <b val="1"/>
      <color rgb="007C3AED"/>
      <sz val="22"/>
    </font>
    <font>
      <name val="Segoe UI"/>
      <b val="1"/>
      <color rgb="00D97706"/>
      <sz val="22"/>
    </font>
    <font>
      <name val="Segoe UI"/>
      <b val="1"/>
      <color rgb="00E11D48"/>
      <sz val="22"/>
    </font>
    <font>
      <name val="Segoe UI"/>
      <b val="1"/>
      <color rgb="001F2937"/>
      <sz val="13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F2937"/>
      <sz val="10"/>
    </font>
    <font>
      <name val="Segoe UI"/>
      <color rgb="006B7280"/>
      <sz val="10"/>
    </font>
    <font>
      <name val="Segoe UI"/>
      <b val="1"/>
      <color rgb="001F2937"/>
      <sz val="16"/>
    </font>
    <font>
      <name val="Segoe UI"/>
      <b val="1"/>
      <color rgb="006B7280"/>
      <sz val="10"/>
    </font>
    <font>
      <name val="Segoe UI"/>
      <i val="1"/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CCFBF1"/>
      </patternFill>
    </fill>
    <fill>
      <patternFill patternType="solid">
        <fgColor rgb="000D9488"/>
      </patternFill>
    </fill>
    <fill>
      <patternFill patternType="solid">
        <fgColor rgb="00EDE9FE"/>
      </patternFill>
    </fill>
    <fill>
      <patternFill patternType="solid">
        <fgColor rgb="007C3AED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FFE4E6"/>
      </patternFill>
    </fill>
    <fill>
      <patternFill patternType="solid">
        <fgColor rgb="00E11D48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top style="medium">
        <color rgb="001F2937"/>
      </top>
      <bottom style="double">
        <color rgb="001F2937"/>
      </bottom>
    </border>
    <border>
      <bottom style="medium">
        <color rgb="001F293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3" fontId="8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9" fillId="0" borderId="0" pivotButton="0" quotePrefix="0" xfId="0"/>
    <xf numFmtId="0" fontId="10" fillId="11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/>
    </xf>
    <xf numFmtId="164" fontId="11" fillId="12" borderId="1" applyAlignment="1" pivotButton="0" quotePrefix="0" xfId="0">
      <alignment horizontal="right"/>
    </xf>
    <xf numFmtId="165" fontId="11" fillId="12" borderId="1" applyAlignment="1" pivotButton="0" quotePrefix="0" xfId="0">
      <alignment horizontal="right"/>
    </xf>
    <xf numFmtId="166" fontId="11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center"/>
    </xf>
    <xf numFmtId="0" fontId="11" fillId="13" borderId="1" applyAlignment="1" pivotButton="0" quotePrefix="0" xfId="0">
      <alignment horizontal="left"/>
    </xf>
    <xf numFmtId="164" fontId="11" fillId="13" borderId="1" applyAlignment="1" pivotButton="0" quotePrefix="0" xfId="0">
      <alignment horizontal="right"/>
    </xf>
    <xf numFmtId="165" fontId="11" fillId="13" borderId="1" applyAlignment="1" pivotButton="0" quotePrefix="0" xfId="0">
      <alignment horizontal="right"/>
    </xf>
    <xf numFmtId="166" fontId="11" fillId="13" borderId="1" applyAlignment="1" pivotButton="0" quotePrefix="0" xfId="0">
      <alignment horizontal="right"/>
    </xf>
    <xf numFmtId="0" fontId="11" fillId="13" borderId="1" applyAlignment="1" pivotButton="0" quotePrefix="0" xfId="0">
      <alignment horizontal="center"/>
    </xf>
    <xf numFmtId="0" fontId="12" fillId="14" borderId="2" applyAlignment="1" pivotButton="0" quotePrefix="0" xfId="0">
      <alignment horizontal="left"/>
    </xf>
    <xf numFmtId="164" fontId="12" fillId="14" borderId="2" applyAlignment="1" pivotButton="0" quotePrefix="0" xfId="0">
      <alignment horizontal="right"/>
    </xf>
    <xf numFmtId="165" fontId="12" fillId="14" borderId="2" applyAlignment="1" pivotButton="0" quotePrefix="0" xfId="0">
      <alignment horizontal="right"/>
    </xf>
    <xf numFmtId="0" fontId="12" fillId="14" borderId="2" applyAlignment="1" pivotButton="0" quotePrefix="0" xfId="0">
      <alignment horizontal="right"/>
    </xf>
    <xf numFmtId="0" fontId="11" fillId="0" borderId="0" pivotButton="0" quotePrefix="0" xfId="0"/>
    <xf numFmtId="164" fontId="11" fillId="0" borderId="0" pivotButton="0" quotePrefix="0" xfId="0"/>
    <xf numFmtId="9" fontId="1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2" fillId="0" borderId="1" pivotButton="0" quotePrefix="0" xfId="0"/>
    <xf numFmtId="0" fontId="11" fillId="0" borderId="1" pivotButton="0" quotePrefix="0" xfId="0"/>
    <xf numFmtId="170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pivotButton="0" quotePrefix="0" xfId="0"/>
    <xf numFmtId="0" fontId="16" fillId="0" borderId="1" pivotButton="0" quotePrefix="0" xfId="0"/>
  </cellXfs>
  <cellStyles count="1">
    <cellStyle name="Normal" xfId="0" builtinId="0" hidden="0"/>
  </cellStyles>
  <dxfs count="7">
    <dxf>
      <font>
        <b val="1"/>
        <color rgb="00E11D48"/>
      </font>
    </dxf>
    <dxf>
      <font>
        <b val="1"/>
        <color rgb="000D9488"/>
      </font>
    </dxf>
    <dxf>
      <font>
        <b val="1"/>
        <color rgb="00047857"/>
      </font>
      <fill>
        <patternFill patternType="solid">
          <fgColor rgb="00D1FAE5"/>
        </patternFill>
      </fill>
    </dxf>
    <dxf>
      <font>
        <b val="1"/>
        <color rgb="001D4ED8"/>
      </font>
      <fill>
        <patternFill patternType="solid">
          <fgColor rgb="00DBEAFE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ont>
        <b val="1"/>
        <color rgb="00BE123C"/>
      </font>
      <fill>
        <patternFill patternType="solid">
          <fgColor rgb="00FFE4E6"/>
        </patternFill>
      </fill>
    </dxf>
    <dxf>
      <font>
        <b val="1"/>
        <color rgb="006B7280"/>
      </font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'Dashboard'!$B$13:$B$24</f>
            </numRef>
          </cat>
          <val>
            <numRef>
              <f>'Dashboard'!$C$13:$C$24</f>
            </numRef>
          </val>
        </ser>
        <ser>
          <idx val="1"/>
          <order val="1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'Dashboard'!$B$13:$B$24</f>
            </numRef>
          </cat>
          <val>
            <numRef>
              <f>'Dashboard'!$D$13:$D$24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'Dashboard'!$B$13:$B$24</f>
            </numRef>
          </cat>
          <val>
            <numRef>
              <f>'Dashboard'!$E$13:$E$24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region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'Dashboard'!$B$29:$B$32</f>
            </numRef>
          </cat>
          <val>
            <numRef>
              <f>'Dashboard'!$C$29:$C$32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26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" displayName="Orders" ref="A1:I41" headerRowCount="1">
  <autoFilter ref="A1:I41"/>
  <tableColumns count="9">
    <tableColumn id="1" name="Order"/>
    <tableColumn id="2" name="Date"/>
    <tableColumn id="3" name="Customer"/>
    <tableColumn id="4" name="Product"/>
    <tableColumn id="5" name="Region"/>
    <tableColumn id="6" name="Qty"/>
    <tableColumn id="7" name="Price"/>
    <tableColumn id="8" name="Total"/>
    <tableColumn id="9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" t="inlineStr">
        <is>
          <t>Brew &amp; Co.  ·  2026 Sales Dashboard</t>
        </is>
      </c>
      <c r="J2" s="1" t="n"/>
    </row>
    <row r="3">
      <c r="A3" s="1" t="n"/>
      <c r="B3" s="3" t="inlineStr">
        <is>
          <t>Coffee roastery  ·  four regions  ·  figures in USD</t>
        </is>
      </c>
      <c r="J3" s="1" t="n"/>
    </row>
    <row r="5">
      <c r="B5" s="4" t="inlineStr">
        <is>
          <t>REVENUE</t>
        </is>
      </c>
      <c r="D5" s="5" t="inlineStr">
        <is>
          <t>PROFIT</t>
        </is>
      </c>
      <c r="F5" s="6" t="inlineStr">
        <is>
          <t>MARGIN</t>
        </is>
      </c>
      <c r="H5" s="7" t="inlineStr">
        <is>
          <t>ORDERS</t>
        </is>
      </c>
    </row>
    <row r="6" ht="22" customHeight="1">
      <c r="B6" s="8">
        <f>SUM(C13:C24)</f>
        <v/>
      </c>
      <c r="D6" s="9">
        <f>SUM(E13:E24)</f>
        <v/>
      </c>
      <c r="F6" s="10">
        <f>E25/C25</f>
        <v/>
      </c>
      <c r="H6" s="11">
        <f>COUNTA(Orders!A2:A41)</f>
        <v/>
      </c>
    </row>
    <row r="7" ht="22" customHeight="1"/>
    <row r="8">
      <c r="B8" s="12" t="inlineStr">
        <is>
          <t>+12% vs 2025</t>
        </is>
      </c>
      <c r="D8" s="13" t="inlineStr">
        <is>
          <t>best month: Dec</t>
        </is>
      </c>
      <c r="F8" s="14" t="inlineStr">
        <is>
          <t>target 35%</t>
        </is>
      </c>
      <c r="H8" s="15" t="inlineStr">
        <is>
          <t>40 this quarter</t>
        </is>
      </c>
    </row>
    <row r="11">
      <c r="B11" s="16" t="inlineStr">
        <is>
          <t>Monthly performance</t>
        </is>
      </c>
    </row>
    <row r="12" ht="22" customHeight="1">
      <c r="B12" s="17" t="inlineStr">
        <is>
          <t>Month</t>
        </is>
      </c>
      <c r="C12" s="17" t="inlineStr">
        <is>
          <t>Revenue</t>
        </is>
      </c>
      <c r="D12" s="17" t="inlineStr">
        <is>
          <t>Cost</t>
        </is>
      </c>
      <c r="E12" s="17" t="inlineStr">
        <is>
          <t>Profit</t>
        </is>
      </c>
      <c r="F12" s="17" t="inlineStr">
        <is>
          <t>Margin</t>
        </is>
      </c>
      <c r="G12" s="17" t="inlineStr">
        <is>
          <t>Growth</t>
        </is>
      </c>
      <c r="H12" s="17" t="inlineStr">
        <is>
          <t>Target met</t>
        </is>
      </c>
    </row>
    <row r="13">
      <c r="B13" s="18" t="inlineStr">
        <is>
          <t>Jan</t>
        </is>
      </c>
      <c r="C13" s="19" t="n">
        <v>41100</v>
      </c>
      <c r="D13" s="19" t="n">
        <v>24600</v>
      </c>
      <c r="E13" s="19">
        <f>C13-D13</f>
        <v/>
      </c>
      <c r="F13" s="20">
        <f>E13/C13</f>
        <v/>
      </c>
      <c r="G13" s="21" t="inlineStr"/>
      <c r="H13" s="22">
        <f>IF(F13&gt;=0.35,"✔ yes","—")</f>
        <v/>
      </c>
    </row>
    <row r="14">
      <c r="B14" s="23" t="inlineStr">
        <is>
          <t>Feb</t>
        </is>
      </c>
      <c r="C14" s="24" t="n">
        <v>42900</v>
      </c>
      <c r="D14" s="24" t="n">
        <v>25300</v>
      </c>
      <c r="E14" s="24">
        <f>C14-D14</f>
        <v/>
      </c>
      <c r="F14" s="25">
        <f>E14/C14</f>
        <v/>
      </c>
      <c r="G14" s="26">
        <f>C14/C13-1</f>
        <v/>
      </c>
      <c r="H14" s="27">
        <f>IF(F14&gt;=0.35,"✔ yes","—")</f>
        <v/>
      </c>
    </row>
    <row r="15">
      <c r="B15" s="18" t="inlineStr">
        <is>
          <t>Mar</t>
        </is>
      </c>
      <c r="C15" s="19" t="n">
        <v>44200</v>
      </c>
      <c r="D15" s="19" t="n">
        <v>27600</v>
      </c>
      <c r="E15" s="19">
        <f>C15-D15</f>
        <v/>
      </c>
      <c r="F15" s="20">
        <f>E15/C15</f>
        <v/>
      </c>
      <c r="G15" s="21">
        <f>C15/C14-1</f>
        <v/>
      </c>
      <c r="H15" s="22">
        <f>IF(F15&gt;=0.35,"✔ yes","—")</f>
        <v/>
      </c>
    </row>
    <row r="16">
      <c r="B16" s="23" t="inlineStr">
        <is>
          <t>Apr</t>
        </is>
      </c>
      <c r="C16" s="24" t="n">
        <v>42800</v>
      </c>
      <c r="D16" s="24" t="n">
        <v>27400</v>
      </c>
      <c r="E16" s="24">
        <f>C16-D16</f>
        <v/>
      </c>
      <c r="F16" s="25">
        <f>E16/C16</f>
        <v/>
      </c>
      <c r="G16" s="26">
        <f>C16/C15-1</f>
        <v/>
      </c>
      <c r="H16" s="27">
        <f>IF(F16&gt;=0.35,"✔ yes","—")</f>
        <v/>
      </c>
    </row>
    <row r="17">
      <c r="B17" s="18" t="inlineStr">
        <is>
          <t>May</t>
        </is>
      </c>
      <c r="C17" s="19" t="n">
        <v>41300</v>
      </c>
      <c r="D17" s="19" t="n">
        <v>26100</v>
      </c>
      <c r="E17" s="19">
        <f>C17-D17</f>
        <v/>
      </c>
      <c r="F17" s="20">
        <f>E17/C17</f>
        <v/>
      </c>
      <c r="G17" s="21">
        <f>C17/C16-1</f>
        <v/>
      </c>
      <c r="H17" s="22">
        <f>IF(F17&gt;=0.35,"✔ yes","—")</f>
        <v/>
      </c>
    </row>
    <row r="18">
      <c r="B18" s="23" t="inlineStr">
        <is>
          <t>Jun</t>
        </is>
      </c>
      <c r="C18" s="24" t="n">
        <v>40000</v>
      </c>
      <c r="D18" s="24" t="n">
        <v>23600</v>
      </c>
      <c r="E18" s="24">
        <f>C18-D18</f>
        <v/>
      </c>
      <c r="F18" s="25">
        <f>E18/C18</f>
        <v/>
      </c>
      <c r="G18" s="26">
        <f>C18/C17-1</f>
        <v/>
      </c>
      <c r="H18" s="27">
        <f>IF(F18&gt;=0.35,"✔ yes","—")</f>
        <v/>
      </c>
    </row>
    <row r="19">
      <c r="B19" s="18" t="inlineStr">
        <is>
          <t>Jul</t>
        </is>
      </c>
      <c r="C19" s="19" t="n">
        <v>40600</v>
      </c>
      <c r="D19" s="19" t="n">
        <v>27600</v>
      </c>
      <c r="E19" s="19">
        <f>C19-D19</f>
        <v/>
      </c>
      <c r="F19" s="20">
        <f>E19/C19</f>
        <v/>
      </c>
      <c r="G19" s="21">
        <f>C19/C18-1</f>
        <v/>
      </c>
      <c r="H19" s="22">
        <f>IF(F19&gt;=0.35,"✔ yes","—")</f>
        <v/>
      </c>
    </row>
    <row r="20">
      <c r="B20" s="23" t="inlineStr">
        <is>
          <t>Aug</t>
        </is>
      </c>
      <c r="C20" s="24" t="n">
        <v>39600</v>
      </c>
      <c r="D20" s="24" t="n">
        <v>24000</v>
      </c>
      <c r="E20" s="24">
        <f>C20-D20</f>
        <v/>
      </c>
      <c r="F20" s="25">
        <f>E20/C20</f>
        <v/>
      </c>
      <c r="G20" s="26">
        <f>C20/C19-1</f>
        <v/>
      </c>
      <c r="H20" s="27">
        <f>IF(F20&gt;=0.35,"✔ yes","—")</f>
        <v/>
      </c>
    </row>
    <row r="21">
      <c r="B21" s="18" t="inlineStr">
        <is>
          <t>Sep</t>
        </is>
      </c>
      <c r="C21" s="19" t="n">
        <v>41200</v>
      </c>
      <c r="D21" s="19" t="n">
        <v>28600</v>
      </c>
      <c r="E21" s="19">
        <f>C21-D21</f>
        <v/>
      </c>
      <c r="F21" s="20">
        <f>E21/C21</f>
        <v/>
      </c>
      <c r="G21" s="21">
        <f>C21/C20-1</f>
        <v/>
      </c>
      <c r="H21" s="22">
        <f>IF(F21&gt;=0.35,"✔ yes","—")</f>
        <v/>
      </c>
    </row>
    <row r="22">
      <c r="B22" s="23" t="inlineStr">
        <is>
          <t>Oct</t>
        </is>
      </c>
      <c r="C22" s="24" t="n">
        <v>42600</v>
      </c>
      <c r="D22" s="24" t="n">
        <v>26700</v>
      </c>
      <c r="E22" s="24">
        <f>C22-D22</f>
        <v/>
      </c>
      <c r="F22" s="25">
        <f>E22/C22</f>
        <v/>
      </c>
      <c r="G22" s="26">
        <f>C22/C21-1</f>
        <v/>
      </c>
      <c r="H22" s="27">
        <f>IF(F22&gt;=0.35,"✔ yes","—")</f>
        <v/>
      </c>
    </row>
    <row r="23">
      <c r="B23" s="18" t="inlineStr">
        <is>
          <t>Nov</t>
        </is>
      </c>
      <c r="C23" s="19" t="n">
        <v>48800</v>
      </c>
      <c r="D23" s="19" t="n">
        <v>28600</v>
      </c>
      <c r="E23" s="19">
        <f>C23-D23</f>
        <v/>
      </c>
      <c r="F23" s="20">
        <f>E23/C23</f>
        <v/>
      </c>
      <c r="G23" s="21">
        <f>C23/C22-1</f>
        <v/>
      </c>
      <c r="H23" s="22">
        <f>IF(F23&gt;=0.35,"✔ yes","—")</f>
        <v/>
      </c>
    </row>
    <row r="24">
      <c r="B24" s="23" t="inlineStr">
        <is>
          <t>Dec</t>
        </is>
      </c>
      <c r="C24" s="24" t="n">
        <v>54800</v>
      </c>
      <c r="D24" s="24" t="n">
        <v>33700</v>
      </c>
      <c r="E24" s="24">
        <f>C24-D24</f>
        <v/>
      </c>
      <c r="F24" s="25">
        <f>E24/C24</f>
        <v/>
      </c>
      <c r="G24" s="26">
        <f>C24/C23-1</f>
        <v/>
      </c>
      <c r="H24" s="27">
        <f>IF(F24&gt;=0.35,"✔ yes","—")</f>
        <v/>
      </c>
    </row>
    <row r="25">
      <c r="B25" s="28" t="inlineStr">
        <is>
          <t>Total</t>
        </is>
      </c>
      <c r="C25" s="29">
        <f>SUM(C13:C24)</f>
        <v/>
      </c>
      <c r="D25" s="29">
        <f>SUM(D13:D24)</f>
        <v/>
      </c>
      <c r="E25" s="29">
        <f>SUM(E13:E24)</f>
        <v/>
      </c>
      <c r="F25" s="30">
        <f>E25/C25</f>
        <v/>
      </c>
      <c r="G25" s="31" t="n"/>
      <c r="H25" s="31" t="n"/>
    </row>
    <row r="28">
      <c r="B28" s="16" t="inlineStr">
        <is>
          <t>Revenue by region</t>
        </is>
      </c>
    </row>
    <row r="29">
      <c r="B29" s="32" t="inlineStr">
        <is>
          <t>North</t>
        </is>
      </c>
      <c r="C29" s="33">
        <f>ROUND(C25*0.31,0)</f>
        <v/>
      </c>
      <c r="D29" s="34">
        <f>C29/C25</f>
        <v/>
      </c>
    </row>
    <row r="30">
      <c r="B30" s="32" t="inlineStr">
        <is>
          <t>South</t>
        </is>
      </c>
      <c r="C30" s="33">
        <f>ROUND(C25*0.24,0)</f>
        <v/>
      </c>
      <c r="D30" s="34">
        <f>C30/C25</f>
        <v/>
      </c>
    </row>
    <row r="31">
      <c r="B31" s="32" t="inlineStr">
        <is>
          <t>East</t>
        </is>
      </c>
      <c r="C31" s="33">
        <f>ROUND(C25*0.27,0)</f>
        <v/>
      </c>
      <c r="D31" s="34">
        <f>C31/C25</f>
        <v/>
      </c>
    </row>
    <row r="32">
      <c r="B32" s="32" t="inlineStr">
        <is>
          <t>West</t>
        </is>
      </c>
      <c r="C32" s="33">
        <f>ROUND(C25*0.18,0)</f>
        <v/>
      </c>
      <c r="D32" s="34">
        <f>C32/C25</f>
        <v/>
      </c>
    </row>
  </sheetData>
  <mergeCells count="14">
    <mergeCell ref="D8:E8"/>
    <mergeCell ref="H6:I7"/>
    <mergeCell ref="B5:C5"/>
    <mergeCell ref="B2:I2"/>
    <mergeCell ref="F5:G5"/>
    <mergeCell ref="D5:E5"/>
    <mergeCell ref="B3:I3"/>
    <mergeCell ref="B6:C7"/>
    <mergeCell ref="D6:E7"/>
    <mergeCell ref="F6:G7"/>
    <mergeCell ref="H5:I5"/>
    <mergeCell ref="H8:I8"/>
    <mergeCell ref="B8:C8"/>
    <mergeCell ref="F8:G8"/>
  </mergeCells>
  <conditionalFormatting sqref="F13:F24">
    <cfRule type="colorScale" priority="1">
      <colorScale>
        <cfvo type="min"/>
        <cfvo type="percentile" val="50"/>
        <cfvo type="max"/>
        <color rgb="00FDE68A"/>
        <color rgb="00FFFFFF"/>
        <color rgb="0099F6E4"/>
      </colorScale>
    </cfRule>
  </conditionalFormatting>
  <conditionalFormatting sqref="C13:C24">
    <cfRule type="dataBar" priority="2">
      <dataBar>
        <cfvo type="min"/>
        <cfvo type="max"/>
        <color rgb="005EEAD4"/>
      </dataBar>
    </cfRule>
  </conditionalFormatting>
  <conditionalFormatting sqref="G14:G2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H13:H24">
    <cfRule type="expression" priority="5" dxfId="2">
      <formula>LEFT(H13,1)="✔"</formula>
    </cfRule>
  </conditionalFormatting>
  <conditionalFormatting sqref="D29:D32">
    <cfRule type="dataBar" priority="6">
      <dataBar>
        <cfvo type="num" val="0"/>
        <cfvo type="num" val="0.4"/>
        <color rgb="00C4B5FD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2" customWidth="1" min="4" max="4"/>
    <col width="9" customWidth="1" min="5" max="5"/>
    <col width="6" customWidth="1" min="6" max="6"/>
    <col width="9" customWidth="1" min="7" max="7"/>
    <col width="11" customWidth="1" min="8" max="8"/>
    <col width="12" customWidth="1" min="9" max="9"/>
  </cols>
  <sheetData>
    <row r="1">
      <c r="A1" t="inlineStr">
        <is>
          <t>Order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Region</t>
        </is>
      </c>
      <c r="F1" t="inlineStr">
        <is>
          <t>Qty</t>
        </is>
      </c>
      <c r="G1" t="inlineStr">
        <is>
          <t>Price</t>
        </is>
      </c>
      <c r="H1" t="inlineStr">
        <is>
          <t>Total</t>
        </is>
      </c>
      <c r="I1" t="inlineStr">
        <is>
          <t>Status</t>
        </is>
      </c>
    </row>
    <row r="2">
      <c r="A2" t="inlineStr">
        <is>
          <t>BC-1041</t>
        </is>
      </c>
      <c r="B2" s="35" t="n">
        <v>46207</v>
      </c>
      <c r="C2" t="inlineStr">
        <is>
          <t>Hugo Brandt</t>
        </is>
      </c>
      <c r="D2" t="inlineStr">
        <is>
          <t>Decaf Swiss Water</t>
        </is>
      </c>
      <c r="E2" t="inlineStr">
        <is>
          <t>West</t>
        </is>
      </c>
      <c r="F2" t="n">
        <v>9</v>
      </c>
      <c r="G2" s="36" t="n">
        <v>14.5</v>
      </c>
      <c r="H2" s="36">
        <f>F2*G2</f>
        <v/>
      </c>
      <c r="I2" t="inlineStr">
        <is>
          <t>Processing</t>
        </is>
      </c>
    </row>
    <row r="3">
      <c r="A3" t="inlineStr">
        <is>
          <t>BC-1042</t>
        </is>
      </c>
      <c r="B3" s="35" t="n">
        <v>46209</v>
      </c>
      <c r="C3" t="inlineStr">
        <is>
          <t>Iris Kowal</t>
        </is>
      </c>
      <c r="D3" t="inlineStr">
        <is>
          <t>Colombia Huila</t>
        </is>
      </c>
      <c r="E3" t="inlineStr">
        <is>
          <t>West</t>
        </is>
      </c>
      <c r="F3" t="n">
        <v>11</v>
      </c>
      <c r="G3" s="36" t="n">
        <v>15</v>
      </c>
      <c r="H3" s="36">
        <f>F3*G3</f>
        <v/>
      </c>
      <c r="I3" t="inlineStr">
        <is>
          <t>Processing</t>
        </is>
      </c>
    </row>
    <row r="4">
      <c r="A4" t="inlineStr">
        <is>
          <t>BC-1043</t>
        </is>
      </c>
      <c r="B4" s="35" t="n">
        <v>46211</v>
      </c>
      <c r="C4" t="inlineStr">
        <is>
          <t>Hugo Brandt</t>
        </is>
      </c>
      <c r="D4" t="inlineStr">
        <is>
          <t>Ethiopia Yirgacheffe</t>
        </is>
      </c>
      <c r="E4" t="inlineStr">
        <is>
          <t>East</t>
        </is>
      </c>
      <c r="F4" t="n">
        <v>3</v>
      </c>
      <c r="G4" s="36" t="n">
        <v>18.5</v>
      </c>
      <c r="H4" s="36">
        <f>F4*G4</f>
        <v/>
      </c>
      <c r="I4" t="inlineStr">
        <is>
          <t>Delivered</t>
        </is>
      </c>
    </row>
    <row r="5">
      <c r="A5" t="inlineStr">
        <is>
          <t>BC-1044</t>
        </is>
      </c>
      <c r="B5" s="35" t="n">
        <v>46212</v>
      </c>
      <c r="C5" t="inlineStr">
        <is>
          <t>Gita Rao</t>
        </is>
      </c>
      <c r="D5" t="inlineStr">
        <is>
          <t>Decaf Swiss Water</t>
        </is>
      </c>
      <c r="E5" t="inlineStr">
        <is>
          <t>West</t>
        </is>
      </c>
      <c r="F5" t="n">
        <v>11</v>
      </c>
      <c r="G5" s="36" t="n">
        <v>14.5</v>
      </c>
      <c r="H5" s="36">
        <f>F5*G5</f>
        <v/>
      </c>
      <c r="I5" t="inlineStr">
        <is>
          <t>Cancelled</t>
        </is>
      </c>
    </row>
    <row r="6">
      <c r="A6" t="inlineStr">
        <is>
          <t>BC-1045</t>
        </is>
      </c>
      <c r="B6" s="35" t="n">
        <v>46214</v>
      </c>
      <c r="C6" t="inlineStr">
        <is>
          <t>Ana Lima</t>
        </is>
      </c>
      <c r="D6" t="inlineStr">
        <is>
          <t>Decaf Swiss Water</t>
        </is>
      </c>
      <c r="E6" t="inlineStr">
        <is>
          <t>North</t>
        </is>
      </c>
      <c r="F6" t="n">
        <v>1</v>
      </c>
      <c r="G6" s="36" t="n">
        <v>14.5</v>
      </c>
      <c r="H6" s="36">
        <f>F6*G6</f>
        <v/>
      </c>
      <c r="I6" t="inlineStr">
        <is>
          <t>Delivered</t>
        </is>
      </c>
    </row>
    <row r="7">
      <c r="A7" t="inlineStr">
        <is>
          <t>BC-1046</t>
        </is>
      </c>
      <c r="B7" s="35" t="n">
        <v>46216</v>
      </c>
      <c r="C7" t="inlineStr">
        <is>
          <t>Jae Park</t>
        </is>
      </c>
      <c r="D7" t="inlineStr">
        <is>
          <t>Colombia Huila</t>
        </is>
      </c>
      <c r="E7" t="inlineStr">
        <is>
          <t>North</t>
        </is>
      </c>
      <c r="F7" t="n">
        <v>8</v>
      </c>
      <c r="G7" s="36" t="n">
        <v>15</v>
      </c>
      <c r="H7" s="36">
        <f>F7*G7</f>
        <v/>
      </c>
      <c r="I7" t="inlineStr">
        <is>
          <t>Delivered</t>
        </is>
      </c>
    </row>
    <row r="8">
      <c r="A8" t="inlineStr">
        <is>
          <t>BC-1047</t>
        </is>
      </c>
      <c r="B8" s="35" t="n">
        <v>46219</v>
      </c>
      <c r="C8" t="inlineStr">
        <is>
          <t>Dara Novak</t>
        </is>
      </c>
      <c r="D8" t="inlineStr">
        <is>
          <t>Decaf Swiss Water</t>
        </is>
      </c>
      <c r="E8" t="inlineStr">
        <is>
          <t>South</t>
        </is>
      </c>
      <c r="F8" t="n">
        <v>11</v>
      </c>
      <c r="G8" s="36" t="n">
        <v>14.5</v>
      </c>
      <c r="H8" s="36">
        <f>F8*G8</f>
        <v/>
      </c>
      <c r="I8" t="inlineStr">
        <is>
          <t>Delivered</t>
        </is>
      </c>
    </row>
    <row r="9">
      <c r="A9" t="inlineStr">
        <is>
          <t>BC-1048</t>
        </is>
      </c>
      <c r="B9" s="35" t="n">
        <v>46222</v>
      </c>
      <c r="C9" t="inlineStr">
        <is>
          <t>Ben Ortiz</t>
        </is>
      </c>
      <c r="D9" t="inlineStr">
        <is>
          <t>Ethiopia Yirgacheffe</t>
        </is>
      </c>
      <c r="E9" t="inlineStr">
        <is>
          <t>West</t>
        </is>
      </c>
      <c r="F9" t="n">
        <v>11</v>
      </c>
      <c r="G9" s="36" t="n">
        <v>18.5</v>
      </c>
      <c r="H9" s="36">
        <f>F9*G9</f>
        <v/>
      </c>
      <c r="I9" t="inlineStr">
        <is>
          <t>Delivered</t>
        </is>
      </c>
    </row>
    <row r="10">
      <c r="A10" t="inlineStr">
        <is>
          <t>BC-1049</t>
        </is>
      </c>
      <c r="B10" s="35" t="n">
        <v>46225</v>
      </c>
      <c r="C10" t="inlineStr">
        <is>
          <t>Ben Ortiz</t>
        </is>
      </c>
      <c r="D10" t="inlineStr">
        <is>
          <t>Decaf Swiss Water</t>
        </is>
      </c>
      <c r="E10" t="inlineStr">
        <is>
          <t>East</t>
        </is>
      </c>
      <c r="F10" t="n">
        <v>6</v>
      </c>
      <c r="G10" s="36" t="n">
        <v>14.5</v>
      </c>
      <c r="H10" s="36">
        <f>F10*G10</f>
        <v/>
      </c>
      <c r="I10" t="inlineStr">
        <is>
          <t>Delivered</t>
        </is>
      </c>
    </row>
    <row r="11">
      <c r="A11" t="inlineStr">
        <is>
          <t>BC-1050</t>
        </is>
      </c>
      <c r="B11" s="35" t="n">
        <v>46227</v>
      </c>
      <c r="C11" t="inlineStr">
        <is>
          <t>Ben Ortiz</t>
        </is>
      </c>
      <c r="D11" t="inlineStr">
        <is>
          <t>Ethiopia Yirgacheffe</t>
        </is>
      </c>
      <c r="E11" t="inlineStr">
        <is>
          <t>North</t>
        </is>
      </c>
      <c r="F11" t="n">
        <v>7</v>
      </c>
      <c r="G11" s="36" t="n">
        <v>18.5</v>
      </c>
      <c r="H11" s="36">
        <f>F11*G11</f>
        <v/>
      </c>
      <c r="I11" t="inlineStr">
        <is>
          <t>Delivered</t>
        </is>
      </c>
    </row>
    <row r="12">
      <c r="A12" t="inlineStr">
        <is>
          <t>BC-1051</t>
        </is>
      </c>
      <c r="B12" s="35" t="n">
        <v>46229</v>
      </c>
      <c r="C12" t="inlineStr">
        <is>
          <t>Ben Ortiz</t>
        </is>
      </c>
      <c r="D12" t="inlineStr">
        <is>
          <t>House Espresso</t>
        </is>
      </c>
      <c r="E12" t="inlineStr">
        <is>
          <t>North</t>
        </is>
      </c>
      <c r="F12" t="n">
        <v>11</v>
      </c>
      <c r="G12" s="36" t="n">
        <v>13.9</v>
      </c>
      <c r="H12" s="36">
        <f>F12*G12</f>
        <v/>
      </c>
      <c r="I12" t="inlineStr">
        <is>
          <t>Delivered</t>
        </is>
      </c>
    </row>
    <row r="13">
      <c r="A13" t="inlineStr">
        <is>
          <t>BC-1052</t>
        </is>
      </c>
      <c r="B13" s="35" t="n">
        <v>46231</v>
      </c>
      <c r="C13" t="inlineStr">
        <is>
          <t>Ana Lima</t>
        </is>
      </c>
      <c r="D13" t="inlineStr">
        <is>
          <t>Colombia Huila</t>
        </is>
      </c>
      <c r="E13" t="inlineStr">
        <is>
          <t>West</t>
        </is>
      </c>
      <c r="F13" t="n">
        <v>7</v>
      </c>
      <c r="G13" s="36" t="n">
        <v>15</v>
      </c>
      <c r="H13" s="36">
        <f>F13*G13</f>
        <v/>
      </c>
      <c r="I13" t="inlineStr">
        <is>
          <t>Cancelled</t>
        </is>
      </c>
    </row>
    <row r="14">
      <c r="A14" t="inlineStr">
        <is>
          <t>BC-1053</t>
        </is>
      </c>
      <c r="B14" s="35" t="n">
        <v>46234</v>
      </c>
      <c r="C14" t="inlineStr">
        <is>
          <t>Ben Ortiz</t>
        </is>
      </c>
      <c r="D14" t="inlineStr">
        <is>
          <t>House Espresso</t>
        </is>
      </c>
      <c r="E14" t="inlineStr">
        <is>
          <t>South</t>
        </is>
      </c>
      <c r="F14" t="n">
        <v>11</v>
      </c>
      <c r="G14" s="36" t="n">
        <v>13.9</v>
      </c>
      <c r="H14" s="36">
        <f>F14*G14</f>
        <v/>
      </c>
      <c r="I14" t="inlineStr">
        <is>
          <t>Delivered</t>
        </is>
      </c>
    </row>
    <row r="15">
      <c r="A15" t="inlineStr">
        <is>
          <t>BC-1054</t>
        </is>
      </c>
      <c r="B15" s="35" t="n">
        <v>46236</v>
      </c>
      <c r="C15" t="inlineStr">
        <is>
          <t>Eli Haddad</t>
        </is>
      </c>
      <c r="D15" t="inlineStr">
        <is>
          <t>Ethiopia Yirgacheffe</t>
        </is>
      </c>
      <c r="E15" t="inlineStr">
        <is>
          <t>East</t>
        </is>
      </c>
      <c r="F15" t="n">
        <v>1</v>
      </c>
      <c r="G15" s="36" t="n">
        <v>18.5</v>
      </c>
      <c r="H15" s="36">
        <f>F15*G15</f>
        <v/>
      </c>
      <c r="I15" t="inlineStr">
        <is>
          <t>Shipped</t>
        </is>
      </c>
    </row>
    <row r="16">
      <c r="A16" t="inlineStr">
        <is>
          <t>BC-1055</t>
        </is>
      </c>
      <c r="B16" s="35" t="n">
        <v>46237</v>
      </c>
      <c r="C16" t="inlineStr">
        <is>
          <t>Dara Novak</t>
        </is>
      </c>
      <c r="D16" t="inlineStr">
        <is>
          <t>Colombia Huila</t>
        </is>
      </c>
      <c r="E16" t="inlineStr">
        <is>
          <t>North</t>
        </is>
      </c>
      <c r="F16" t="n">
        <v>1</v>
      </c>
      <c r="G16" s="36" t="n">
        <v>15</v>
      </c>
      <c r="H16" s="36">
        <f>F16*G16</f>
        <v/>
      </c>
      <c r="I16" t="inlineStr">
        <is>
          <t>Delivered</t>
        </is>
      </c>
    </row>
    <row r="17">
      <c r="A17" t="inlineStr">
        <is>
          <t>BC-1056</t>
        </is>
      </c>
      <c r="B17" s="35" t="n">
        <v>46240</v>
      </c>
      <c r="C17" t="inlineStr">
        <is>
          <t>Chen Wei</t>
        </is>
      </c>
      <c r="D17" t="inlineStr">
        <is>
          <t>House Espresso</t>
        </is>
      </c>
      <c r="E17" t="inlineStr">
        <is>
          <t>South</t>
        </is>
      </c>
      <c r="F17" t="n">
        <v>8</v>
      </c>
      <c r="G17" s="36" t="n">
        <v>13.9</v>
      </c>
      <c r="H17" s="36">
        <f>F17*G17</f>
        <v/>
      </c>
      <c r="I17" t="inlineStr">
        <is>
          <t>Processing</t>
        </is>
      </c>
    </row>
    <row r="18">
      <c r="A18" t="inlineStr">
        <is>
          <t>BC-1057</t>
        </is>
      </c>
      <c r="B18" s="35" t="n">
        <v>46242</v>
      </c>
      <c r="C18" t="inlineStr">
        <is>
          <t>Chen Wei</t>
        </is>
      </c>
      <c r="D18" t="inlineStr">
        <is>
          <t>Cold Brew Pack</t>
        </is>
      </c>
      <c r="E18" t="inlineStr">
        <is>
          <t>West</t>
        </is>
      </c>
      <c r="F18" t="n">
        <v>11</v>
      </c>
      <c r="G18" s="36" t="n">
        <v>22</v>
      </c>
      <c r="H18" s="36">
        <f>F18*G18</f>
        <v/>
      </c>
      <c r="I18" t="inlineStr">
        <is>
          <t>Shipped</t>
        </is>
      </c>
    </row>
    <row r="19">
      <c r="A19" t="inlineStr">
        <is>
          <t>BC-1058</t>
        </is>
      </c>
      <c r="B19" s="35" t="n">
        <v>46243</v>
      </c>
      <c r="C19" t="inlineStr">
        <is>
          <t>Gita Rao</t>
        </is>
      </c>
      <c r="D19" t="inlineStr">
        <is>
          <t>House Espresso</t>
        </is>
      </c>
      <c r="E19" t="inlineStr">
        <is>
          <t>South</t>
        </is>
      </c>
      <c r="F19" t="n">
        <v>1</v>
      </c>
      <c r="G19" s="36" t="n">
        <v>13.9</v>
      </c>
      <c r="H19" s="36">
        <f>F19*G19</f>
        <v/>
      </c>
      <c r="I19" t="inlineStr">
        <is>
          <t>Delivered</t>
        </is>
      </c>
    </row>
    <row r="20">
      <c r="A20" t="inlineStr">
        <is>
          <t>BC-1059</t>
        </is>
      </c>
      <c r="B20" s="35" t="n">
        <v>46245</v>
      </c>
      <c r="C20" t="inlineStr">
        <is>
          <t>Dara Novak</t>
        </is>
      </c>
      <c r="D20" t="inlineStr">
        <is>
          <t>Ethiopia Yirgacheffe</t>
        </is>
      </c>
      <c r="E20" t="inlineStr">
        <is>
          <t>South</t>
        </is>
      </c>
      <c r="F20" t="n">
        <v>7</v>
      </c>
      <c r="G20" s="36" t="n">
        <v>18.5</v>
      </c>
      <c r="H20" s="36">
        <f>F20*G20</f>
        <v/>
      </c>
      <c r="I20" t="inlineStr">
        <is>
          <t>Processing</t>
        </is>
      </c>
    </row>
    <row r="21">
      <c r="A21" t="inlineStr">
        <is>
          <t>BC-1060</t>
        </is>
      </c>
      <c r="B21" s="35" t="n">
        <v>46246</v>
      </c>
      <c r="C21" t="inlineStr">
        <is>
          <t>Chen Wei</t>
        </is>
      </c>
      <c r="D21" t="inlineStr">
        <is>
          <t>Ethiopia Yirgacheffe</t>
        </is>
      </c>
      <c r="E21" t="inlineStr">
        <is>
          <t>South</t>
        </is>
      </c>
      <c r="F21" t="n">
        <v>8</v>
      </c>
      <c r="G21" s="36" t="n">
        <v>18.5</v>
      </c>
      <c r="H21" s="36">
        <f>F21*G21</f>
        <v/>
      </c>
      <c r="I21" t="inlineStr">
        <is>
          <t>Delivered</t>
        </is>
      </c>
    </row>
    <row r="22">
      <c r="A22" t="inlineStr">
        <is>
          <t>BC-1061</t>
        </is>
      </c>
      <c r="B22" s="35" t="n">
        <v>46247</v>
      </c>
      <c r="C22" t="inlineStr">
        <is>
          <t>Femi Ade</t>
        </is>
      </c>
      <c r="D22" t="inlineStr">
        <is>
          <t>Decaf Swiss Water</t>
        </is>
      </c>
      <c r="E22" t="inlineStr">
        <is>
          <t>East</t>
        </is>
      </c>
      <c r="F22" t="n">
        <v>7</v>
      </c>
      <c r="G22" s="36" t="n">
        <v>14.5</v>
      </c>
      <c r="H22" s="36">
        <f>F22*G22</f>
        <v/>
      </c>
      <c r="I22" t="inlineStr">
        <is>
          <t>Delivered</t>
        </is>
      </c>
    </row>
    <row r="23">
      <c r="A23" t="inlineStr">
        <is>
          <t>BC-1062</t>
        </is>
      </c>
      <c r="B23" s="35" t="n">
        <v>46248</v>
      </c>
      <c r="C23" t="inlineStr">
        <is>
          <t>Dara Novak</t>
        </is>
      </c>
      <c r="D23" t="inlineStr">
        <is>
          <t>Ethiopia Yirgacheffe</t>
        </is>
      </c>
      <c r="E23" t="inlineStr">
        <is>
          <t>South</t>
        </is>
      </c>
      <c r="F23" t="n">
        <v>1</v>
      </c>
      <c r="G23" s="36" t="n">
        <v>18.5</v>
      </c>
      <c r="H23" s="36">
        <f>F23*G23</f>
        <v/>
      </c>
      <c r="I23" t="inlineStr">
        <is>
          <t>Processing</t>
        </is>
      </c>
    </row>
    <row r="24">
      <c r="A24" t="inlineStr">
        <is>
          <t>BC-1063</t>
        </is>
      </c>
      <c r="B24" s="35" t="n">
        <v>46250</v>
      </c>
      <c r="C24" t="inlineStr">
        <is>
          <t>Jae Park</t>
        </is>
      </c>
      <c r="D24" t="inlineStr">
        <is>
          <t>Sumatra Mandheling</t>
        </is>
      </c>
      <c r="E24" t="inlineStr">
        <is>
          <t>West</t>
        </is>
      </c>
      <c r="F24" t="n">
        <v>3</v>
      </c>
      <c r="G24" s="36" t="n">
        <v>16.75</v>
      </c>
      <c r="H24" s="36">
        <f>F24*G24</f>
        <v/>
      </c>
      <c r="I24" t="inlineStr">
        <is>
          <t>Processing</t>
        </is>
      </c>
    </row>
    <row r="25">
      <c r="A25" t="inlineStr">
        <is>
          <t>BC-1064</t>
        </is>
      </c>
      <c r="B25" s="35" t="n">
        <v>46253</v>
      </c>
      <c r="C25" t="inlineStr">
        <is>
          <t>Chen Wei</t>
        </is>
      </c>
      <c r="D25" t="inlineStr">
        <is>
          <t>Decaf Swiss Water</t>
        </is>
      </c>
      <c r="E25" t="inlineStr">
        <is>
          <t>West</t>
        </is>
      </c>
      <c r="F25" t="n">
        <v>3</v>
      </c>
      <c r="G25" s="36" t="n">
        <v>14.5</v>
      </c>
      <c r="H25" s="36">
        <f>F25*G25</f>
        <v/>
      </c>
      <c r="I25" t="inlineStr">
        <is>
          <t>Cancelled</t>
        </is>
      </c>
    </row>
    <row r="26">
      <c r="A26" t="inlineStr">
        <is>
          <t>BC-1065</t>
        </is>
      </c>
      <c r="B26" s="35" t="n">
        <v>46255</v>
      </c>
      <c r="C26" t="inlineStr">
        <is>
          <t>Dara Novak</t>
        </is>
      </c>
      <c r="D26" t="inlineStr">
        <is>
          <t>Sumatra Mandheling</t>
        </is>
      </c>
      <c r="E26" t="inlineStr">
        <is>
          <t>South</t>
        </is>
      </c>
      <c r="F26" t="n">
        <v>12</v>
      </c>
      <c r="G26" s="36" t="n">
        <v>16.75</v>
      </c>
      <c r="H26" s="36">
        <f>F26*G26</f>
        <v/>
      </c>
      <c r="I26" t="inlineStr">
        <is>
          <t>Delivered</t>
        </is>
      </c>
    </row>
    <row r="27">
      <c r="A27" t="inlineStr">
        <is>
          <t>BC-1066</t>
        </is>
      </c>
      <c r="B27" s="35" t="n">
        <v>46257</v>
      </c>
      <c r="C27" t="inlineStr">
        <is>
          <t>Iris Kowal</t>
        </is>
      </c>
      <c r="D27" t="inlineStr">
        <is>
          <t>Cold Brew Pack</t>
        </is>
      </c>
      <c r="E27" t="inlineStr">
        <is>
          <t>South</t>
        </is>
      </c>
      <c r="F27" t="n">
        <v>11</v>
      </c>
      <c r="G27" s="36" t="n">
        <v>22</v>
      </c>
      <c r="H27" s="36">
        <f>F27*G27</f>
        <v/>
      </c>
      <c r="I27" t="inlineStr">
        <is>
          <t>Shipped</t>
        </is>
      </c>
    </row>
    <row r="28">
      <c r="A28" t="inlineStr">
        <is>
          <t>BC-1067</t>
        </is>
      </c>
      <c r="B28" s="35" t="n">
        <v>46260</v>
      </c>
      <c r="C28" t="inlineStr">
        <is>
          <t>Ben Ortiz</t>
        </is>
      </c>
      <c r="D28" t="inlineStr">
        <is>
          <t>Decaf Swiss Water</t>
        </is>
      </c>
      <c r="E28" t="inlineStr">
        <is>
          <t>West</t>
        </is>
      </c>
      <c r="F28" t="n">
        <v>1</v>
      </c>
      <c r="G28" s="36" t="n">
        <v>14.5</v>
      </c>
      <c r="H28" s="36">
        <f>F28*G28</f>
        <v/>
      </c>
      <c r="I28" t="inlineStr">
        <is>
          <t>Delivered</t>
        </is>
      </c>
    </row>
    <row r="29">
      <c r="A29" t="inlineStr">
        <is>
          <t>BC-1068</t>
        </is>
      </c>
      <c r="B29" s="35" t="n">
        <v>46261</v>
      </c>
      <c r="C29" t="inlineStr">
        <is>
          <t>Iris Kowal</t>
        </is>
      </c>
      <c r="D29" t="inlineStr">
        <is>
          <t>Ethiopia Yirgacheffe</t>
        </is>
      </c>
      <c r="E29" t="inlineStr">
        <is>
          <t>East</t>
        </is>
      </c>
      <c r="F29" t="n">
        <v>4</v>
      </c>
      <c r="G29" s="36" t="n">
        <v>18.5</v>
      </c>
      <c r="H29" s="36">
        <f>F29*G29</f>
        <v/>
      </c>
      <c r="I29" t="inlineStr">
        <is>
          <t>Cancelled</t>
        </is>
      </c>
    </row>
    <row r="30">
      <c r="A30" t="inlineStr">
        <is>
          <t>BC-1069</t>
        </is>
      </c>
      <c r="B30" s="35" t="n">
        <v>46264</v>
      </c>
      <c r="C30" t="inlineStr">
        <is>
          <t>Gita Rao</t>
        </is>
      </c>
      <c r="D30" t="inlineStr">
        <is>
          <t>Sumatra Mandheling</t>
        </is>
      </c>
      <c r="E30" t="inlineStr">
        <is>
          <t>West</t>
        </is>
      </c>
      <c r="F30" t="n">
        <v>5</v>
      </c>
      <c r="G30" s="36" t="n">
        <v>16.75</v>
      </c>
      <c r="H30" s="36">
        <f>F30*G30</f>
        <v/>
      </c>
      <c r="I30" t="inlineStr">
        <is>
          <t>Processing</t>
        </is>
      </c>
    </row>
    <row r="31">
      <c r="A31" t="inlineStr">
        <is>
          <t>BC-1070</t>
        </is>
      </c>
      <c r="B31" s="35" t="n">
        <v>46266</v>
      </c>
      <c r="C31" t="inlineStr">
        <is>
          <t>Ben Ortiz</t>
        </is>
      </c>
      <c r="D31" t="inlineStr">
        <is>
          <t>Cold Brew Pack</t>
        </is>
      </c>
      <c r="E31" t="inlineStr">
        <is>
          <t>South</t>
        </is>
      </c>
      <c r="F31" t="n">
        <v>4</v>
      </c>
      <c r="G31" s="36" t="n">
        <v>22</v>
      </c>
      <c r="H31" s="36">
        <f>F31*G31</f>
        <v/>
      </c>
      <c r="I31" t="inlineStr">
        <is>
          <t>Shipped</t>
        </is>
      </c>
    </row>
    <row r="32">
      <c r="A32" t="inlineStr">
        <is>
          <t>BC-1071</t>
        </is>
      </c>
      <c r="B32" s="35" t="n">
        <v>46267</v>
      </c>
      <c r="C32" t="inlineStr">
        <is>
          <t>Dara Novak</t>
        </is>
      </c>
      <c r="D32" t="inlineStr">
        <is>
          <t>Sumatra Mandheling</t>
        </is>
      </c>
      <c r="E32" t="inlineStr">
        <is>
          <t>South</t>
        </is>
      </c>
      <c r="F32" t="n">
        <v>12</v>
      </c>
      <c r="G32" s="36" t="n">
        <v>16.75</v>
      </c>
      <c r="H32" s="36">
        <f>F32*G32</f>
        <v/>
      </c>
      <c r="I32" t="inlineStr">
        <is>
          <t>Delivered</t>
        </is>
      </c>
    </row>
    <row r="33">
      <c r="A33" t="inlineStr">
        <is>
          <t>BC-1072</t>
        </is>
      </c>
      <c r="B33" s="35" t="n">
        <v>46268</v>
      </c>
      <c r="C33" t="inlineStr">
        <is>
          <t>Gita Rao</t>
        </is>
      </c>
      <c r="D33" t="inlineStr">
        <is>
          <t>Sumatra Mandheling</t>
        </is>
      </c>
      <c r="E33" t="inlineStr">
        <is>
          <t>West</t>
        </is>
      </c>
      <c r="F33" t="n">
        <v>4</v>
      </c>
      <c r="G33" s="36" t="n">
        <v>16.75</v>
      </c>
      <c r="H33" s="36">
        <f>F33*G33</f>
        <v/>
      </c>
      <c r="I33" t="inlineStr">
        <is>
          <t>Delivered</t>
        </is>
      </c>
    </row>
    <row r="34">
      <c r="A34" t="inlineStr">
        <is>
          <t>BC-1073</t>
        </is>
      </c>
      <c r="B34" s="35" t="n">
        <v>46269</v>
      </c>
      <c r="C34" t="inlineStr">
        <is>
          <t>Eli Haddad</t>
        </is>
      </c>
      <c r="D34" t="inlineStr">
        <is>
          <t>Colombia Huila</t>
        </is>
      </c>
      <c r="E34" t="inlineStr">
        <is>
          <t>East</t>
        </is>
      </c>
      <c r="F34" t="n">
        <v>9</v>
      </c>
      <c r="G34" s="36" t="n">
        <v>15</v>
      </c>
      <c r="H34" s="36">
        <f>F34*G34</f>
        <v/>
      </c>
      <c r="I34" t="inlineStr">
        <is>
          <t>Processing</t>
        </is>
      </c>
    </row>
    <row r="35">
      <c r="A35" t="inlineStr">
        <is>
          <t>BC-1074</t>
        </is>
      </c>
      <c r="B35" s="35" t="n">
        <v>46271</v>
      </c>
      <c r="C35" t="inlineStr">
        <is>
          <t>Femi Ade</t>
        </is>
      </c>
      <c r="D35" t="inlineStr">
        <is>
          <t>Ethiopia Yirgacheffe</t>
        </is>
      </c>
      <c r="E35" t="inlineStr">
        <is>
          <t>South</t>
        </is>
      </c>
      <c r="F35" t="n">
        <v>8</v>
      </c>
      <c r="G35" s="36" t="n">
        <v>18.5</v>
      </c>
      <c r="H35" s="36">
        <f>F35*G35</f>
        <v/>
      </c>
      <c r="I35" t="inlineStr">
        <is>
          <t>Delivered</t>
        </is>
      </c>
    </row>
    <row r="36">
      <c r="A36" t="inlineStr">
        <is>
          <t>BC-1075</t>
        </is>
      </c>
      <c r="B36" s="35" t="n">
        <v>46273</v>
      </c>
      <c r="C36" t="inlineStr">
        <is>
          <t>Ana Lima</t>
        </is>
      </c>
      <c r="D36" t="inlineStr">
        <is>
          <t>Decaf Swiss Water</t>
        </is>
      </c>
      <c r="E36" t="inlineStr">
        <is>
          <t>North</t>
        </is>
      </c>
      <c r="F36" t="n">
        <v>8</v>
      </c>
      <c r="G36" s="36" t="n">
        <v>14.5</v>
      </c>
      <c r="H36" s="36">
        <f>F36*G36</f>
        <v/>
      </c>
      <c r="I36" t="inlineStr">
        <is>
          <t>Delivered</t>
        </is>
      </c>
    </row>
    <row r="37">
      <c r="A37" t="inlineStr">
        <is>
          <t>BC-1076</t>
        </is>
      </c>
      <c r="B37" s="35" t="n">
        <v>46275</v>
      </c>
      <c r="C37" t="inlineStr">
        <is>
          <t>Ana Lima</t>
        </is>
      </c>
      <c r="D37" t="inlineStr">
        <is>
          <t>Ethiopia Yirgacheffe</t>
        </is>
      </c>
      <c r="E37" t="inlineStr">
        <is>
          <t>North</t>
        </is>
      </c>
      <c r="F37" t="n">
        <v>8</v>
      </c>
      <c r="G37" s="36" t="n">
        <v>18.5</v>
      </c>
      <c r="H37" s="36">
        <f>F37*G37</f>
        <v/>
      </c>
      <c r="I37" t="inlineStr">
        <is>
          <t>Delivered</t>
        </is>
      </c>
    </row>
    <row r="38">
      <c r="A38" t="inlineStr">
        <is>
          <t>BC-1077</t>
        </is>
      </c>
      <c r="B38" s="35" t="n">
        <v>46277</v>
      </c>
      <c r="C38" t="inlineStr">
        <is>
          <t>Chen Wei</t>
        </is>
      </c>
      <c r="D38" t="inlineStr">
        <is>
          <t>Sumatra Mandheling</t>
        </is>
      </c>
      <c r="E38" t="inlineStr">
        <is>
          <t>North</t>
        </is>
      </c>
      <c r="F38" t="n">
        <v>2</v>
      </c>
      <c r="G38" s="36" t="n">
        <v>16.75</v>
      </c>
      <c r="H38" s="36">
        <f>F38*G38</f>
        <v/>
      </c>
      <c r="I38" t="inlineStr">
        <is>
          <t>Shipped</t>
        </is>
      </c>
    </row>
    <row r="39">
      <c r="A39" t="inlineStr">
        <is>
          <t>BC-1078</t>
        </is>
      </c>
      <c r="B39" s="35" t="n">
        <v>46279</v>
      </c>
      <c r="C39" t="inlineStr">
        <is>
          <t>Ana Lima</t>
        </is>
      </c>
      <c r="D39" t="inlineStr">
        <is>
          <t>Cold Brew Pack</t>
        </is>
      </c>
      <c r="E39" t="inlineStr">
        <is>
          <t>South</t>
        </is>
      </c>
      <c r="F39" t="n">
        <v>6</v>
      </c>
      <c r="G39" s="36" t="n">
        <v>22</v>
      </c>
      <c r="H39" s="36">
        <f>F39*G39</f>
        <v/>
      </c>
      <c r="I39" t="inlineStr">
        <is>
          <t>Delivered</t>
        </is>
      </c>
    </row>
    <row r="40">
      <c r="A40" t="inlineStr">
        <is>
          <t>BC-1079</t>
        </is>
      </c>
      <c r="B40" s="35" t="n">
        <v>46280</v>
      </c>
      <c r="C40" t="inlineStr">
        <is>
          <t>Hugo Brandt</t>
        </is>
      </c>
      <c r="D40" t="inlineStr">
        <is>
          <t>Cold Brew Pack</t>
        </is>
      </c>
      <c r="E40" t="inlineStr">
        <is>
          <t>North</t>
        </is>
      </c>
      <c r="F40" t="n">
        <v>7</v>
      </c>
      <c r="G40" s="36" t="n">
        <v>22</v>
      </c>
      <c r="H40" s="36">
        <f>F40*G40</f>
        <v/>
      </c>
      <c r="I40" t="inlineStr">
        <is>
          <t>Delivered</t>
        </is>
      </c>
    </row>
    <row r="41">
      <c r="A41" t="inlineStr">
        <is>
          <t>BC-1080</t>
        </is>
      </c>
      <c r="B41" s="35" t="n">
        <v>46283</v>
      </c>
      <c r="C41" t="inlineStr">
        <is>
          <t>Ana Lima</t>
        </is>
      </c>
      <c r="D41" t="inlineStr">
        <is>
          <t>Decaf Swiss Water</t>
        </is>
      </c>
      <c r="E41" t="inlineStr">
        <is>
          <t>West</t>
        </is>
      </c>
      <c r="F41" t="n">
        <v>7</v>
      </c>
      <c r="G41" s="36" t="n">
        <v>14.5</v>
      </c>
      <c r="H41" s="36">
        <f>F41*G41</f>
        <v/>
      </c>
      <c r="I41" t="inlineStr">
        <is>
          <t>Processing</t>
        </is>
      </c>
    </row>
  </sheetData>
  <conditionalFormatting sqref="I2:I41">
    <cfRule type="cellIs" priority="1" operator="equal" dxfId="2">
      <formula>"Delivered"</formula>
    </cfRule>
    <cfRule type="cellIs" priority="2" operator="equal" dxfId="3">
      <formula>"Shipped"</formula>
    </cfRule>
    <cfRule type="cellIs" priority="3" operator="equal" dxfId="4">
      <formula>"Processing"</formula>
    </cfRule>
    <cfRule type="cellIs" priority="4" operator="equal" dxfId="5">
      <formula>"Cancelled"</formula>
    </cfRule>
  </conditionalFormatting>
  <conditionalFormatting sqref="H2:H41">
    <cfRule type="dataBar" priority="5">
      <dataBar>
        <cfvo type="num" val="0"/>
        <cfvo type="max"/>
        <color rgb="00A78BFA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2" customWidth="1" min="5" max="5"/>
    <col width="28" customWidth="1" min="6" max="6"/>
  </cols>
  <sheetData>
    <row r="1" ht="28" customHeight="1">
      <c r="A1" s="37" t="inlineStr">
        <is>
          <t>Q3 roadmap</t>
        </is>
      </c>
    </row>
    <row r="3">
      <c r="A3" s="38" t="inlineStr">
        <is>
          <t>Task</t>
        </is>
      </c>
      <c r="B3" s="38" t="inlineStr">
        <is>
          <t>Owner</t>
        </is>
      </c>
      <c r="C3" s="38" t="inlineStr">
        <is>
          <t>Due</t>
        </is>
      </c>
      <c r="D3" s="38" t="inlineStr">
        <is>
          <t>Status</t>
        </is>
      </c>
      <c r="E3" s="38" t="inlineStr">
        <is>
          <t>Progress</t>
        </is>
      </c>
      <c r="F3" s="38" t="inlineStr">
        <is>
          <t>Notes</t>
        </is>
      </c>
    </row>
    <row r="4" ht="20" customHeight="1">
      <c r="A4" s="39" t="inlineStr">
        <is>
          <t>New espresso blend</t>
        </is>
      </c>
      <c r="B4" s="40" t="inlineStr">
        <is>
          <t>Ana</t>
        </is>
      </c>
      <c r="C4" s="41" t="n">
        <v>46249</v>
      </c>
      <c r="D4" s="42" t="inlineStr">
        <is>
          <t>In progress</t>
        </is>
      </c>
      <c r="E4" s="43" t="n">
        <v>0.9</v>
      </c>
      <c r="F4" s="44" t="inlineStr">
        <is>
          <t>Tasting panel Friday</t>
        </is>
      </c>
    </row>
    <row r="5" ht="20" customHeight="1">
      <c r="A5" s="39" t="inlineStr">
        <is>
          <t>Online shop redesign</t>
        </is>
      </c>
      <c r="B5" s="40" t="inlineStr">
        <is>
          <t>Chen</t>
        </is>
      </c>
      <c r="C5" s="41" t="n">
        <v>46258</v>
      </c>
      <c r="D5" s="42" t="inlineStr">
        <is>
          <t>Done</t>
        </is>
      </c>
      <c r="E5" s="43" t="n">
        <v>1</v>
      </c>
      <c r="F5" s="44" t="inlineStr">
        <is>
          <t>Live since Aug 3</t>
        </is>
      </c>
    </row>
    <row r="6" ht="20" customHeight="1">
      <c r="A6" s="39" t="inlineStr">
        <is>
          <t>Wholesale price list</t>
        </is>
      </c>
      <c r="B6" s="40" t="inlineStr">
        <is>
          <t>Hugo</t>
        </is>
      </c>
      <c r="C6" s="41" t="n">
        <v>46267</v>
      </c>
      <c r="D6" s="42" t="inlineStr">
        <is>
          <t>In progress</t>
        </is>
      </c>
      <c r="E6" s="43" t="n">
        <v>0.45</v>
      </c>
      <c r="F6" s="44" t="inlineStr">
        <is>
          <t>Waiting for freight quotes</t>
        </is>
      </c>
    </row>
    <row r="7" ht="20" customHeight="1">
      <c r="A7" s="39" t="inlineStr">
        <is>
          <t>Cold brew cans</t>
        </is>
      </c>
      <c r="B7" s="40" t="inlineStr">
        <is>
          <t>Gita</t>
        </is>
      </c>
      <c r="C7" s="41" t="n">
        <v>46276</v>
      </c>
      <c r="D7" s="42" t="inlineStr">
        <is>
          <t>Planned</t>
        </is>
      </c>
      <c r="E7" s="43" t="n">
        <v>0.15</v>
      </c>
      <c r="F7" s="44" t="inlineStr">
        <is>
          <t>Supplier shortlist ready</t>
        </is>
      </c>
    </row>
    <row r="8" ht="20" customHeight="1">
      <c r="A8" s="39" t="inlineStr">
        <is>
          <t>Barista training videos</t>
        </is>
      </c>
      <c r="B8" s="40" t="inlineStr">
        <is>
          <t>Femi</t>
        </is>
      </c>
      <c r="C8" s="41" t="n">
        <v>46285</v>
      </c>
      <c r="D8" s="42" t="inlineStr">
        <is>
          <t>In progress</t>
        </is>
      </c>
      <c r="E8" s="43" t="n">
        <v>0.6</v>
      </c>
      <c r="F8" s="44" t="inlineStr">
        <is>
          <t>3 of 5 recorded</t>
        </is>
      </c>
    </row>
    <row r="9" ht="20" customHeight="1">
      <c r="A9" s="39" t="inlineStr">
        <is>
          <t>Loyalty card app</t>
        </is>
      </c>
      <c r="B9" s="40" t="inlineStr">
        <is>
          <t>Jae</t>
        </is>
      </c>
      <c r="C9" s="41" t="n">
        <v>46294</v>
      </c>
      <c r="D9" s="42" t="inlineStr">
        <is>
          <t>Blocked</t>
        </is>
      </c>
      <c r="E9" s="43" t="n">
        <v>0</v>
      </c>
      <c r="F9" s="44" t="inlineStr">
        <is>
          <t>Needs payment provider</t>
        </is>
      </c>
    </row>
    <row r="10" ht="20" customHeight="1">
      <c r="A10" s="39" t="inlineStr">
        <is>
          <t>Autumn market stall</t>
        </is>
      </c>
      <c r="B10" s="40" t="inlineStr">
        <is>
          <t>Iris</t>
        </is>
      </c>
      <c r="C10" s="41" t="n">
        <v>46303</v>
      </c>
      <c r="D10" s="42" t="inlineStr">
        <is>
          <t>Done</t>
        </is>
      </c>
      <c r="E10" s="43" t="n">
        <v>1</v>
      </c>
      <c r="F10" s="44" t="inlineStr">
        <is>
          <t>Booked for Oct 12</t>
        </is>
      </c>
    </row>
  </sheetData>
  <mergeCells count="1">
    <mergeCell ref="A1:F1"/>
  </mergeCells>
  <conditionalFormatting sqref="D4:D10">
    <cfRule type="cellIs" priority="1" operator="equal" dxfId="2">
      <formula>"Done"</formula>
    </cfRule>
    <cfRule type="cellIs" priority="2" operator="equal" dxfId="3">
      <formula>"In progress"</formula>
    </cfRule>
    <cfRule type="cellIs" priority="3" operator="equal" dxfId="6">
      <formula>"Planned"</formula>
    </cfRule>
    <cfRule type="cellIs" priority="4" operator="equal" dxfId="5">
      <formula>"Blocked"</formula>
    </cfRule>
  </conditionalFormatting>
  <conditionalFormatting sqref="E4:E10">
    <cfRule type="dataBar" priority="5">
      <dataBar>
        <cfvo type="num" val="0"/>
        <cfvo type="num" val="1"/>
        <color rgb="00FBBF2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2026-10-15T13:25:56Z</dcterms:created>
  <dcterms:modified xmlns:dcterms="http://purl.org/dc/terms/" xmlns:xsi="http://www.w3.org/2001/XMLSchema-instance" xsi:type="dcterms:W3CDTF">2026-10-15T13:25:56Z</dcterms:modified>
</cp:coreProperties>
</file>